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7510"/>
  </bookViews>
  <sheets>
    <sheet name="Sheet1" sheetId="1" r:id="rId1"/>
    <sheet name="DANHMUCSAC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<sst xmlns="http://schemas.openxmlformats.org/spreadsheetml/2006/main" count="52" uniqueCount="48">
  <si>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Lỗi</t>
  </si>
  <si>
    <t>Vị trí (hàng)</t>
  </si>
  <si>
    <t>Quy tắc bị vi phạm</t>
  </si>
  <si>
    <t>Hàng 1 (ô A1:E1 đang bị MERGE làm tiêu đề lớn): "DANH SÁCH MƯỢN SÁCH THÁNG 10"</t>
  </si>
  <si>
    <t>Quy tắc số 1</t>
  </si>
  <si>
    <t>Hàng 5 (để trống hoàn toàn)</t>
  </si>
  <si>
    <t>Quy tắc số 4</t>
  </si>
  <si>
    <t>Hàng 6 : Tổng cộng</t>
  </si>
  <si>
    <t>Quy tắc số 5</t>
  </si>
  <si>
    <t>DANH SÁCH MƯỢN SÁCH THÁNG 10</t>
  </si>
  <si>
    <t>MSSV</t>
  </si>
  <si>
    <t>Họ tên</t>
  </si>
  <si>
    <t>Mã sách</t>
  </si>
  <si>
    <t>Tên sách</t>
  </si>
  <si>
    <t>Ngày mượn</t>
  </si>
  <si>
    <t>Tình trạng</t>
  </si>
  <si>
    <t>Field (hàng dọc) vd: MSSV, Họ tên,…</t>
  </si>
  <si>
    <t>SV001</t>
  </si>
  <si>
    <t>Nguyễn Văn An</t>
  </si>
  <si>
    <t>S001</t>
  </si>
  <si>
    <t>Đang mượn</t>
  </si>
  <si>
    <t>Record (Hàng ngang): SV001, Nguyễn Văn An,….</t>
  </si>
  <si>
    <t>SV002</t>
  </si>
  <si>
    <t>Trần Thị Bình</t>
  </si>
  <si>
    <t>S002</t>
  </si>
  <si>
    <t>Quá hạn</t>
  </si>
  <si>
    <t xml:space="preserve">S099 bị lỗi vì hàm VLOOKUP chỉ dò đến A4:C6 trong khi S099 lại nằm tương đương với </t>
  </si>
  <si>
    <t>với A7 và C7 nên nó</t>
  </si>
  <si>
    <t>SV003</t>
  </si>
  <si>
    <t>Lê Văn Cường</t>
  </si>
  <si>
    <t>S003</t>
  </si>
  <si>
    <t>Đã trả</t>
  </si>
  <si>
    <t>nằm ngoài vùng dữ liệu mà hàm quét</t>
  </si>
  <si>
    <t>SV004</t>
  </si>
  <si>
    <t>Trần Thu Hà</t>
  </si>
  <si>
    <t>S099</t>
  </si>
  <si>
    <t>Tổng cộng</t>
  </si>
  <si>
    <t>2 phiếu</t>
  </si>
  <si>
    <t>DANHMUCSACH</t>
  </si>
  <si>
    <t>Mã Sách</t>
  </si>
  <si>
    <t>Tên Sách</t>
  </si>
  <si>
    <t>Thể Loại</t>
  </si>
  <si>
    <t>Lập Trình C Căn Bản</t>
  </si>
  <si>
    <t>Công nghệ thông tin</t>
  </si>
  <si>
    <t>Giải Tích 1</t>
  </si>
  <si>
    <t>Toán học</t>
  </si>
  <si>
    <t>Kỹ Năng Mềm</t>
  </si>
  <si>
    <t>Kỹ năng sống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</si>
</sst>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20"/>
      <color rgb="FFC00000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sz val="20"/>
      <color rgb="FF00206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/>
    <xf numFmtId="0" fontId="2" fillId="2" borderId="0" applyNumberFormat="0" applyBorder="0" applyAlignment="0" applyProtection="0"/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24" applyFont="1" applyAlignment="1">
      <alignment horizontal="center"/>
    </xf>
    <xf numFmtId="0" fontId="2" fillId="2" borderId="0" xfId="24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5" fillId="3" borderId="0" xfId="23" applyFont="1" applyAlignment="1">
      <alignment horizontal="center"/>
    </xf>
    <xf numFmtId="0" fontId="6" fillId="3" borderId="0" xfId="23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58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">
    <dxf>
      <alignment vertical="center" wrapText="1"/>
    </dxf>
    <dxf>
      <alignment vertical="center" wrapText="1"/>
    </dxf>
    <dxf>
      <alignment horizontal="center"/>
    </dxf>
    <dxf>
      <font>
        <name val="Arial Unicode MS"/>
        <scheme val="none"/>
        <b val="0"/>
        <i val="0"/>
        <strike val="0"/>
        <u val="none"/>
        <sz val="10"/>
        <color theme="1"/>
      </font>
      <alignment horizontal="center" vertical="center"/>
    </dxf>
    <dxf>
      <alignment horizontal="center"/>
    </dxf>
    <dxf>
      <numFmt numFmtId="0" formatCode="General"/>
      <alignment horizontal="center"/>
    </dxf>
    <dxf>
      <numFmt numFmtId="58" formatCode="m/d/yyyy"/>
      <alignment horizontal="center"/>
    </dxf>
    <dxf>
      <alignment horizontal="center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C4" totalsRowShown="0">
  <autoFilter xmlns:etc="http://www.wps.cn/officeDocument/2017/etCustomData" ref="A1:C4" etc:filterBottomFollowUsedRange="0"/>
  <tableColumns count="3">
    <tableColumn id="1" name="Lỗi" dataDxfId="0"/>
    <tableColumn id="2" name="Vị trí (hàng)"/>
    <tableColumn id="3" name="Quy tắc bị vi phạm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9:F13" totalsRowShown="0">
  <autoFilter xmlns:etc="http://www.wps.cn/officeDocument/2017/etCustomData" ref="A9:F13" etc:filterBottomFollowUsedRange="0"/>
  <tableColumns count="6">
    <tableColumn id="1" name="MSSV" dataDxfId="2"/>
    <tableColumn id="2" name="Họ tên" dataDxfId="3"/>
    <tableColumn id="3" name="Mã sách" dataDxfId="4"/>
    <tableColumn id="6" name="Tên sách" dataDxfId="5">
      <calculatedColumnFormula>IFERROR(VLOOKUP(C10,DANHMUCSACH!$A$4:$C$6,3,FALSE),"Không tìm thấy sách")</calculatedColumnFormula>
    </tableColumn>
    <tableColumn id="4" name="Ngày mượn" dataDxfId="6"/>
    <tableColumn id="5" name="Tình trạng" dataDxfId="7"/>
  </tableColumns>
  <tableStyleInfo name="TableStyleMedium26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3:C6" totalsRowShown="0">
  <autoFilter xmlns:etc="http://www.wps.cn/officeDocument/2017/etCustomData" ref="A3:C6" etc:filterBottomFollowUsedRange="0"/>
  <tableColumns count="3">
    <tableColumn id="1" name="Mã Sách" dataDxfId="8"/>
    <tableColumn id="2" name="Tên Sách" dataDxfId="9"/>
    <tableColumn id="3" name="Thể Loại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selection activeCell="D19" sqref="D19"/>
    </sheetView>
  </sheetViews>
  <sheetFormatPr defaultColWidth="9" defaultRowHeight="14.5"/>
  <cols>
    <col min="1" max="1" width="10" customWidth="1"/>
    <col min="2" max="2" width="77.8545454545455" customWidth="1"/>
    <col min="3" max="4" width="19.2818181818182" customWidth="1"/>
    <col min="5" max="5" width="18.1363636363636" customWidth="1"/>
    <col min="6" max="6" width="17.8545454545455" customWidth="1"/>
    <col min="8" max="8" width="77.5727272727273" customWidth="1"/>
  </cols>
  <sheetData>
    <row r="1" spans="1:12">
      <c r="A1" s="3" t="s">
        <v>0</v>
      </c>
      <c r="B1" s="3" t="s">
        <v>1</v>
      </c>
      <c r="C1" s="3" t="s">
        <v>2</v>
      </c>
      <c r="D1" s="3"/>
    </row>
    <row r="2" spans="1:12">
      <c r="A2" s="5">
        <v>1</v>
      </c>
      <c r="B2" s="6" t="s">
        <v>3</v>
      </c>
      <c r="C2" s="5" t="s">
        <v>4</v>
      </c>
      <c r="D2" s="5"/>
    </row>
    <row r="3" spans="1:12">
      <c r="A3" s="5">
        <v>2</v>
      </c>
      <c r="B3" s="5" t="s">
        <v>5</v>
      </c>
      <c r="C3" s="5" t="s">
        <v>6</v>
      </c>
      <c r="D3" s="5"/>
    </row>
    <row r="4" spans="1:12">
      <c r="A4" s="5">
        <v>3</v>
      </c>
      <c r="B4" s="5" t="s">
        <v>7</v>
      </c>
      <c r="C4" s="5" t="s">
        <v>8</v>
      </c>
      <c r="D4" s="5"/>
    </row>
    <row r="7" spans="1:12">
      <c r="A7" s="7" t="s">
        <v>9</v>
      </c>
      <c r="B7" s="8"/>
      <c r="C7" s="8"/>
      <c r="D7" s="8"/>
      <c r="E7" s="8"/>
      <c r="F7" s="8"/>
    </row>
    <row r="8" spans="1:12">
      <c r="A8" s="8"/>
      <c r="B8" s="8"/>
      <c r="C8" s="8"/>
      <c r="D8" s="8"/>
      <c r="E8" s="8"/>
      <c r="F8" s="8"/>
    </row>
    <row r="9" spans="1:12">
      <c r="A9" s="9" t="s">
        <v>10</v>
      </c>
      <c r="B9" s="10" t="s">
        <v>11</v>
      </c>
      <c r="C9" s="9" t="s">
        <v>12</v>
      </c>
      <c r="D9" s="9" t="s">
        <v>13</v>
      </c>
      <c r="E9" s="9" t="s">
        <v>14</v>
      </c>
      <c r="F9" s="9" t="s">
        <v>15</v>
      </c>
      <c r="H9" t="s">
        <v>16</v>
      </c>
    </row>
    <row r="10" spans="1:12">
      <c r="A10" s="9" t="s">
        <v>17</v>
      </c>
      <c r="B10" s="10" t="s">
        <v>18</v>
      </c>
      <c r="C10" s="9" t="s">
        <v>19</v>
      </c>
      <c r="D10" s="9" t="str">
        <f>IFERROR(VLOOKUP(C10,DANHMUCSACH!$A$4:$C$6,3,FALSE),"Không tìm thấy sách")</f>
        <v>Công nghệ thông tin</v>
      </c>
      <c r="E10" s="11">
        <v>46032</v>
      </c>
      <c r="F10" s="9" t="s">
        <v>20</v>
      </c>
      <c r="H10" t="s">
        <v>21</v>
      </c>
    </row>
    <row r="11" spans="1:12">
      <c r="A11" s="9" t="s">
        <v>22</v>
      </c>
      <c r="B11" s="10" t="s">
        <v>23</v>
      </c>
      <c r="C11" s="9" t="s">
        <v>24</v>
      </c>
      <c r="D11" s="9" t="str">
        <f>IFERROR(VLOOKUP(C11,DANHMUCSACH!$A$4:$C$6,3,FALSE),"Không tìm thấy sách")</f>
        <v>Toán học</v>
      </c>
      <c r="E11" s="11">
        <v>46091</v>
      </c>
      <c r="F11" s="9" t="s">
        <v>25</v>
      </c>
      <c r="H11" t="s">
        <v>26</v>
      </c>
      <c r="L11" t="s">
        <v>27</v>
      </c>
    </row>
    <row r="12" spans="1:12">
      <c r="A12" s="9" t="s">
        <v>28</v>
      </c>
      <c r="B12" s="10" t="s">
        <v>29</v>
      </c>
      <c r="C12" s="9" t="s">
        <v>30</v>
      </c>
      <c r="D12" s="9" t="str">
        <f>IFERROR(VLOOKUP(C12,DANHMUCSACH!$A$4:$C$6,3,FALSE),"Không tìm thấy sách")</f>
        <v>Kỹ năng sống</v>
      </c>
      <c r="E12" s="11">
        <v>46305</v>
      </c>
      <c r="F12" s="9" t="s">
        <v>31</v>
      </c>
      <c r="H12" t="s">
        <v>32</v>
      </c>
    </row>
    <row r="13" spans="1:12">
      <c r="A13" s="9" t="s">
        <v>33</v>
      </c>
      <c r="B13" s="10" t="s">
        <v>34</v>
      </c>
      <c r="C13" s="9" t="s">
        <v>35</v>
      </c>
      <c r="D13" s="9" t="str">
        <f>IFERROR(VLOOKUP(C13,DANHMUCSACH!$A$4:$C$6,3,FALSE),"Không tìm thấy sách")</f>
        <v>Không tìm thấy sách</v>
      </c>
      <c r="E13" s="11">
        <v>46366</v>
      </c>
      <c r="F13" s="9" t="s">
        <v>20</v>
      </c>
    </row>
    <row r="14" spans="1:12">
      <c r="B14" s="6"/>
    </row>
    <row r="15" spans="1:12">
      <c r="A15" s="9" t="s">
        <v>36</v>
      </c>
      <c r="B15" s="10"/>
      <c r="C15" s="9"/>
      <c r="D15" s="9"/>
      <c r="E15" s="9"/>
      <c r="F15" s="9" t="s">
        <v>37</v>
      </c>
    </row>
    <row r="16" spans="1:12">
      <c r="B16" s="6"/>
    </row>
    <row r="19" spans="1:3">
      <c r="A19" s="3"/>
      <c r="B19" s="3"/>
      <c r="C19" s="3"/>
    </row>
    <row r="20" spans="1:3">
      <c r="A20" s="5"/>
      <c r="B20" s="5"/>
      <c r="C20" s="5"/>
    </row>
    <row r="21" spans="1:3">
      <c r="A21" s="5"/>
      <c r="B21" s="5"/>
      <c r="C21" s="5"/>
    </row>
    <row r="22" spans="1:3">
      <c r="A22" s="5"/>
      <c r="B22" s="5"/>
      <c r="C22" s="5"/>
    </row>
  </sheetData>
  <mergeCells count="1">
    <mergeCell ref="A7:F8"/>
  </mergeCells>
  <pageMargins left="0.7" right="0.7" top="0.75" bottom="0.75" header="0.3" footer="0.3"/>
  <pageSetup paperSize="1" orientation="portrait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39" sqref="B39"/>
    </sheetView>
  </sheetViews>
  <sheetFormatPr defaultColWidth="9" defaultRowHeight="14.5" outlineLevelRow="5" outlineLevelCol="2"/>
  <cols>
    <col min="1" max="1" width="10.4272727272727" customWidth="1"/>
    <col min="2" max="2" width="27.2818181818182" customWidth="1"/>
    <col min="3" max="3" width="27.4272727272727" customWidth="1"/>
  </cols>
  <sheetData>
    <row r="1" spans="1:3">
      <c r="A1" s="1" t="s">
        <v>38</v>
      </c>
      <c r="B1" s="2"/>
      <c r="C1" s="2"/>
    </row>
    <row r="2" spans="1:3">
      <c r="A2" s="2"/>
      <c r="B2" s="2"/>
      <c r="C2" s="2"/>
    </row>
    <row r="3" spans="1:3">
      <c r="A3" s="3" t="s">
        <v>39</v>
      </c>
      <c r="B3" s="3" t="s">
        <v>40</v>
      </c>
      <c r="C3" s="3" t="s">
        <v>41</v>
      </c>
    </row>
    <row r="4" spans="1:3">
      <c r="A4" s="4" t="s">
        <v>19</v>
      </c>
      <c r="B4" s="4" t="s">
        <v>42</v>
      </c>
      <c r="C4" s="4" t="s">
        <v>43</v>
      </c>
    </row>
    <row r="5" spans="1:3">
      <c r="A5" s="4" t="s">
        <v>24</v>
      </c>
      <c r="B5" s="4" t="s">
        <v>44</v>
      </c>
      <c r="C5" s="4" t="s">
        <v>45</v>
      </c>
    </row>
    <row r="6" spans="1:3">
      <c r="A6" s="4" t="s">
        <v>30</v>
      </c>
      <c r="B6" s="4" t="s">
        <v>46</v>
      </c>
      <c r="C6" s="4" t="s">
        <v>47</v>
      </c>
    </row>
  </sheetData>
  <mergeCells count="1">
    <mergeCell ref="A1:C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DANHMUCSACH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Phát Nguyễn Thành</cp:lastModifiedBy>
  <dcterms:created xsi:type="dcterms:W3CDTF">2026-10-19T12:21:00Z</dcterms:created>
  <dcterms:modified xsi:type="dcterms:W3CDTF">2026-10-20T09:16:44Z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AC839098423345918231863BD6C7C0DB_12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